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 Design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EFEC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7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Qty</t>
        </is>
      </c>
      <c r="E1" s="1" t="inlineStr">
        <is>
          <t>Rate</t>
        </is>
      </c>
      <c r="F1" s="1" t="inlineStr">
        <is>
          <t>Total</t>
        </is>
      </c>
    </row>
    <row r="2">
      <c r="A2" s="2" t="inlineStr">
        <is>
          <t>1</t>
        </is>
      </c>
      <c r="B2" s="2" t="inlineStr">
        <is>
          <t>PRELIMINARIES &amp; SURVEY</t>
        </is>
      </c>
      <c r="C2" s="2" t="inlineStr"/>
      <c r="D2" s="2" t="inlineStr"/>
      <c r="E2" s="2" t="n"/>
      <c r="F2" s="2" t="n"/>
    </row>
    <row r="3">
      <c r="A3" t="inlineStr">
        <is>
          <t>1.1</t>
        </is>
      </c>
      <c r="B3" t="inlineStr">
        <is>
          <t>Measured, level &amp; structural survey; utility scan</t>
        </is>
      </c>
      <c r="C3" t="inlineStr">
        <is>
          <t>item</t>
        </is>
      </c>
      <c r="D3" t="inlineStr">
        <is>
          <t>1</t>
        </is>
      </c>
      <c r="F3">
        <f>IFERROR(D3*E3,"")</f>
        <v/>
      </c>
    </row>
    <row r="4">
      <c r="A4" t="inlineStr">
        <is>
          <t>1.2</t>
        </is>
      </c>
      <c r="B4" t="inlineStr">
        <is>
          <t>Site set-up, protection, skip hire, clean</t>
        </is>
      </c>
      <c r="C4" t="inlineStr">
        <is>
          <t>item</t>
        </is>
      </c>
      <c r="D4" t="inlineStr">
        <is>
          <t>1</t>
        </is>
      </c>
      <c r="F4">
        <f>IFERROR(D4*E4,"")</f>
        <v/>
      </c>
    </row>
    <row r="5">
      <c r="A5" s="2" t="inlineStr">
        <is>
          <t>2</t>
        </is>
      </c>
      <c r="B5" s="2" t="inlineStr">
        <is>
          <t>EARTHWORKS &amp; DRAINAGE</t>
        </is>
      </c>
      <c r="C5" s="2" t="inlineStr"/>
      <c r="D5" s="2" t="inlineStr"/>
      <c r="E5" s="2" t="n"/>
      <c r="F5" s="2" t="n"/>
    </row>
    <row r="6">
      <c r="A6" t="inlineStr">
        <is>
          <t>2.1</t>
        </is>
      </c>
      <c r="B6" t="inlineStr">
        <is>
          <t>Strip paving/topsoil to formation, dispose</t>
        </is>
      </c>
      <c r="C6" t="inlineStr">
        <is>
          <t>m³</t>
        </is>
      </c>
      <c r="D6" t="inlineStr">
        <is>
          <t>15.2</t>
        </is>
      </c>
      <c r="F6">
        <f>IFERROR(D6*E6,"")</f>
        <v/>
      </c>
    </row>
    <row r="7">
      <c r="A7" t="inlineStr">
        <is>
          <t>2.2</t>
        </is>
      </c>
      <c r="B7" t="inlineStr">
        <is>
          <t>Excavate pads F1/F2 (+F3 S2) 0.8x0.8x0.95</t>
        </is>
      </c>
      <c r="C7" t="inlineStr">
        <is>
          <t>m³</t>
        </is>
      </c>
      <c r="D7" t="inlineStr">
        <is>
          <t>1.22</t>
        </is>
      </c>
      <c r="F7">
        <f>IFERROR(D7*E7,"")</f>
        <v/>
      </c>
    </row>
    <row r="8">
      <c r="A8" t="inlineStr">
        <is>
          <t>2.3</t>
        </is>
      </c>
      <c r="B8" t="inlineStr">
        <is>
          <t>Excavate kerb strip footing 0.45 wide</t>
        </is>
      </c>
      <c r="C8" t="inlineStr">
        <is>
          <t>m³</t>
        </is>
      </c>
      <c r="D8" t="inlineStr">
        <is>
          <t>2.50</t>
        </is>
      </c>
      <c r="F8">
        <f>IFERROR(D8*E8,"")</f>
        <v/>
      </c>
    </row>
    <row r="9">
      <c r="A9" t="inlineStr">
        <is>
          <t>2.4</t>
        </is>
      </c>
      <c r="B9" t="inlineStr">
        <is>
          <t>Ø110 PVC-U SN8 drain incl. bedding &amp; surround</t>
        </is>
      </c>
      <c r="C9" t="inlineStr">
        <is>
          <t>m</t>
        </is>
      </c>
      <c r="D9" t="inlineStr">
        <is>
          <t>22</t>
        </is>
      </c>
      <c r="F9">
        <f>IFERROR(D9*E9,"")</f>
        <v/>
      </c>
    </row>
    <row r="10">
      <c r="A10" t="inlineStr">
        <is>
          <t>2.5</t>
        </is>
      </c>
      <c r="B10" t="inlineStr">
        <is>
          <t>SD1 slot drain 100 mm, B125, incl. outlet</t>
        </is>
      </c>
      <c r="C10" t="inlineStr">
        <is>
          <t>m</t>
        </is>
      </c>
      <c r="D10" t="inlineStr">
        <is>
          <t>5.0</t>
        </is>
      </c>
      <c r="F10">
        <f>IFERROR(D10*E10,"")</f>
        <v/>
      </c>
    </row>
    <row r="11">
      <c r="A11" t="inlineStr">
        <is>
          <t>2.6</t>
        </is>
      </c>
      <c r="B11" t="inlineStr">
        <is>
          <t>Yard gully 300 with silt bucket &amp; grate</t>
        </is>
      </c>
      <c r="C11" t="inlineStr">
        <is>
          <t>no</t>
        </is>
      </c>
      <c r="D11" t="inlineStr">
        <is>
          <t>2</t>
        </is>
      </c>
      <c r="F11">
        <f>IFERROR(D11*E11,"")</f>
        <v/>
      </c>
    </row>
    <row r="12">
      <c r="A12" t="inlineStr">
        <is>
          <t>2.7</t>
        </is>
      </c>
      <c r="B12" t="inlineStr">
        <is>
          <t>IC1 inspection chamber Ø450</t>
        </is>
      </c>
      <c r="C12" t="inlineStr">
        <is>
          <t>no</t>
        </is>
      </c>
      <c r="D12" t="inlineStr">
        <is>
          <t>1</t>
        </is>
      </c>
      <c r="F12">
        <f>IFERROR(D12*E12,"")</f>
        <v/>
      </c>
    </row>
    <row r="13">
      <c r="A13" t="inlineStr">
        <is>
          <t>2.8</t>
        </is>
      </c>
      <c r="B13" t="inlineStr">
        <is>
          <t>SA1 soakaway crate 1.0 m³ incl. geotextile (or connect to SW)</t>
        </is>
      </c>
      <c r="C13" t="inlineStr">
        <is>
          <t>item</t>
        </is>
      </c>
      <c r="D13" t="inlineStr">
        <is>
          <t>1</t>
        </is>
      </c>
      <c r="F13">
        <f>IFERROR(D13*E13,"")</f>
        <v/>
      </c>
    </row>
    <row r="14">
      <c r="A14" s="2" t="inlineStr">
        <is>
          <t>3</t>
        </is>
      </c>
      <c r="B14" s="2" t="inlineStr">
        <is>
          <t>CONCRETE</t>
        </is>
      </c>
      <c r="C14" s="2" t="inlineStr"/>
      <c r="D14" s="2" t="inlineStr"/>
      <c r="E14" s="2" t="n"/>
      <c r="F14" s="2" t="n"/>
    </row>
    <row r="15">
      <c r="A15" t="inlineStr">
        <is>
          <t>3.1</t>
        </is>
      </c>
      <c r="B15" t="inlineStr">
        <is>
          <t>Blinding C12/15 50 mm</t>
        </is>
      </c>
      <c r="C15" t="inlineStr">
        <is>
          <t>m²</t>
        </is>
      </c>
      <c r="D15" t="inlineStr">
        <is>
          <t>5.5</t>
        </is>
      </c>
      <c r="F15">
        <f>IFERROR(D15*E15,"")</f>
        <v/>
      </c>
    </row>
    <row r="16">
      <c r="A16" t="inlineStr">
        <is>
          <t>3.2</t>
        </is>
      </c>
      <c r="B16" t="inlineStr">
        <is>
          <t>Pads C25/30 800x800x700 incl. rebar Ø12 @150 BW</t>
        </is>
      </c>
      <c r="C16" t="inlineStr">
        <is>
          <t>no</t>
        </is>
      </c>
      <c r="D16" t="inlineStr">
        <is>
          <t>2 (+1 S2)</t>
        </is>
      </c>
    </row>
    <row r="17">
      <c r="A17" t="inlineStr">
        <is>
          <t>3.3</t>
        </is>
      </c>
      <c r="B17" t="inlineStr">
        <is>
          <t>Pedestals 300x300 incl. 4Ø12 + links, cast-in bolts</t>
        </is>
      </c>
      <c r="C17" t="inlineStr">
        <is>
          <t>no</t>
        </is>
      </c>
      <c r="D17" t="inlineStr">
        <is>
          <t>2 (+1 S2)</t>
        </is>
      </c>
    </row>
    <row r="18">
      <c r="A18" t="inlineStr">
        <is>
          <t>3.4</t>
        </is>
      </c>
      <c r="B18" t="inlineStr">
        <is>
          <t>Kerb strip footing 450x250 C25/30, 3Ø12</t>
        </is>
      </c>
      <c r="C18" t="inlineStr">
        <is>
          <t>m</t>
        </is>
      </c>
      <c r="D18" t="inlineStr">
        <is>
          <t>8.55</t>
        </is>
      </c>
      <c r="F18">
        <f>IFERROR(D18*E18,"")</f>
        <v/>
      </c>
    </row>
    <row r="19">
      <c r="A19" t="inlineStr">
        <is>
          <t>3.5</t>
        </is>
      </c>
      <c r="B19" t="inlineStr">
        <is>
          <t>Kerb upstand 135x(1050) C30/37 incl. Ø10 @300</t>
        </is>
      </c>
      <c r="C19" t="inlineStr">
        <is>
          <t>m</t>
        </is>
      </c>
      <c r="D19" t="inlineStr">
        <is>
          <t>8.55 + 0.85</t>
        </is>
      </c>
    </row>
    <row r="20">
      <c r="A20" s="2" t="inlineStr">
        <is>
          <t>4</t>
        </is>
      </c>
      <c r="B20" s="2" t="inlineStr">
        <is>
          <t>STRUCTURAL STEEL (S-100)</t>
        </is>
      </c>
      <c r="C20" s="2" t="inlineStr"/>
      <c r="D20" s="2" t="inlineStr"/>
      <c r="E20" s="2" t="n"/>
      <c r="F20" s="2" t="n"/>
    </row>
    <row r="21">
      <c r="A21" t="inlineStr">
        <is>
          <t>4.1</t>
        </is>
      </c>
      <c r="B21" t="inlineStr">
        <is>
          <t>Supply, fabricate, HDG &amp; erect steel per schedule (S1)</t>
        </is>
      </c>
      <c r="C21" t="inlineStr">
        <is>
          <t>t</t>
        </is>
      </c>
      <c r="D21" t="inlineStr">
        <is>
          <t>1.0</t>
        </is>
      </c>
      <c r="F21">
        <f>IFERROR(D21*E21,"")</f>
        <v/>
      </c>
    </row>
    <row r="22">
      <c r="A22" t="inlineStr">
        <is>
          <t>4.1a</t>
        </is>
      </c>
      <c r="B22" t="inlineStr">
        <is>
          <t>Alternative S2 (incl. P3) — deduct/add</t>
        </is>
      </c>
      <c r="C22" t="inlineStr">
        <is>
          <t>t</t>
        </is>
      </c>
      <c r="D22" t="inlineStr">
        <is>
          <t>0.7</t>
        </is>
      </c>
      <c r="F22">
        <f>IFERROR(D22*E22,"")</f>
        <v/>
      </c>
    </row>
    <row r="23">
      <c r="A23" t="inlineStr">
        <is>
          <t>4.2</t>
        </is>
      </c>
      <c r="B23" t="inlineStr">
        <is>
          <t>M12 resin anchors to façade incl. pull tests</t>
        </is>
      </c>
      <c r="C23" t="inlineStr">
        <is>
          <t>no</t>
        </is>
      </c>
      <c r="D23" t="inlineStr">
        <is>
          <t>30</t>
        </is>
      </c>
      <c r="F23">
        <f>IFERROR(D23*E23,"")</f>
        <v/>
      </c>
    </row>
    <row r="24">
      <c r="A24" t="inlineStr">
        <is>
          <t>4.3</t>
        </is>
      </c>
      <c r="B24" t="inlineStr">
        <is>
          <t>S1 padstone + tail anchorage + bulkhead</t>
        </is>
      </c>
      <c r="C24" t="inlineStr">
        <is>
          <t>item</t>
        </is>
      </c>
      <c r="D24" t="inlineStr">
        <is>
          <t>1</t>
        </is>
      </c>
      <c r="F24">
        <f>IFERROR(D24*E24,"")</f>
        <v/>
      </c>
    </row>
    <row r="25">
      <c r="A25" s="2" t="inlineStr">
        <is>
          <t>5</t>
        </is>
      </c>
      <c r="B25" s="2" t="inlineStr">
        <is>
          <t>ROOFING</t>
        </is>
      </c>
      <c r="C25" s="2" t="inlineStr"/>
      <c r="D25" s="2" t="inlineStr"/>
      <c r="E25" s="2" t="n"/>
      <c r="F25" s="2" t="n"/>
    </row>
    <row r="26">
      <c r="A26" t="inlineStr">
        <is>
          <t>5.1</t>
        </is>
      </c>
      <c r="B26" t="inlineStr">
        <is>
          <t>Tapered firrings C24</t>
        </is>
      </c>
      <c r="C26" t="inlineStr">
        <is>
          <t>m</t>
        </is>
      </c>
      <c r="D26" t="inlineStr">
        <is>
          <t>27</t>
        </is>
      </c>
      <c r="F26">
        <f>IFERROR(D26*E26,"")</f>
        <v/>
      </c>
    </row>
    <row r="27">
      <c r="A27" t="inlineStr">
        <is>
          <t>5.2</t>
        </is>
      </c>
      <c r="B27" t="inlineStr">
        <is>
          <t>18 mm marine plywood deck</t>
        </is>
      </c>
      <c r="C27" t="inlineStr">
        <is>
          <t>m²</t>
        </is>
      </c>
      <c r="D27" t="inlineStr">
        <is>
          <t>15.3</t>
        </is>
      </c>
      <c r="F27">
        <f>IFERROR(D27*E27,"")</f>
        <v/>
      </c>
    </row>
    <row r="28">
      <c r="A28" t="inlineStr">
        <is>
          <t>5.3</t>
        </is>
      </c>
      <c r="B28" t="inlineStr">
        <is>
          <t>1.5 mm TPO membrane incl. upstands, gutter lining</t>
        </is>
      </c>
      <c r="C28" t="inlineStr">
        <is>
          <t>m²</t>
        </is>
      </c>
      <c r="D28" t="inlineStr">
        <is>
          <t>18.8</t>
        </is>
      </c>
      <c r="F28">
        <f>IFERROR(D28*E28,"")</f>
        <v/>
      </c>
    </row>
    <row r="29">
      <c r="A29" t="inlineStr">
        <is>
          <t>5.4</t>
        </is>
      </c>
      <c r="B29" t="inlineStr">
        <is>
          <t>Outlet O1 Ø63 + leaf guard; overflow scupper</t>
        </is>
      </c>
      <c r="C29" t="inlineStr">
        <is>
          <t>item</t>
        </is>
      </c>
      <c r="D29" t="inlineStr">
        <is>
          <t>1</t>
        </is>
      </c>
      <c r="F29">
        <f>IFERROR(D29*E29,"")</f>
        <v/>
      </c>
    </row>
    <row r="30">
      <c r="A30" t="inlineStr">
        <is>
          <t>5.5</t>
        </is>
      </c>
      <c r="B30" t="inlineStr">
        <is>
          <t>Alu counter-flashing chased to façade</t>
        </is>
      </c>
      <c r="C30" t="inlineStr">
        <is>
          <t>m</t>
        </is>
      </c>
      <c r="D30" t="inlineStr">
        <is>
          <t>4.9</t>
        </is>
      </c>
      <c r="F30">
        <f>IFERROR(D30*E30,"")</f>
        <v/>
      </c>
    </row>
    <row r="31">
      <c r="A31" s="2" t="inlineStr">
        <is>
          <t>6</t>
        </is>
      </c>
      <c r="B31" s="2" t="inlineStr">
        <is>
          <t>FASCIA, SOFFIT &amp; CLADDING</t>
        </is>
      </c>
      <c r="C31" s="2" t="inlineStr"/>
      <c r="D31" s="2" t="inlineStr"/>
      <c r="E31" s="2" t="n"/>
      <c r="F31" s="2" t="n"/>
    </row>
    <row r="32">
      <c r="A32" t="inlineStr">
        <is>
          <t>6.1</t>
        </is>
      </c>
      <c r="B32" t="inlineStr">
        <is>
          <t>3 mm alu fascia &amp; capping RAL 9010, 370 high</t>
        </is>
      </c>
      <c r="C32" t="inlineStr">
        <is>
          <t>m</t>
        </is>
      </c>
      <c r="D32" t="inlineStr">
        <is>
          <t>11.2</t>
        </is>
      </c>
      <c r="F32">
        <f>IFERROR(D32*E32,"")</f>
        <v/>
      </c>
    </row>
    <row r="33">
      <c r="A33" t="inlineStr">
        <is>
          <t>6.2</t>
        </is>
      </c>
      <c r="B33" t="inlineStr">
        <is>
          <t>Soffit battens 50x38 treated</t>
        </is>
      </c>
      <c r="C33" t="inlineStr">
        <is>
          <t>m</t>
        </is>
      </c>
      <c r="D33" t="inlineStr">
        <is>
          <t>34</t>
        </is>
      </c>
      <c r="F33">
        <f>IFERROR(D33*E33,"")</f>
        <v/>
      </c>
    </row>
    <row r="34">
      <c r="A34" t="inlineStr">
        <is>
          <t>6.3</t>
        </is>
      </c>
      <c r="B34" t="inlineStr">
        <is>
          <t>Thermo-ash slats 68x20 (+10% waste)</t>
        </is>
      </c>
      <c r="C34" t="inlineStr">
        <is>
          <t>m</t>
        </is>
      </c>
      <c r="D34" t="inlineStr">
        <is>
          <t>215</t>
        </is>
      </c>
      <c r="F34">
        <f>IFERROR(D34*E34,"")</f>
        <v/>
      </c>
    </row>
    <row r="35">
      <c r="A35" t="inlineStr">
        <is>
          <t>6.4</t>
        </is>
      </c>
      <c r="B35" t="inlineStr">
        <is>
          <t>Black insect fleece</t>
        </is>
      </c>
      <c r="C35" t="inlineStr">
        <is>
          <t>m²</t>
        </is>
      </c>
      <c r="D35" t="inlineStr">
        <is>
          <t>15.3</t>
        </is>
      </c>
      <c r="F35">
        <f>IFERROR(D35*E35,"")</f>
        <v/>
      </c>
    </row>
    <row r="36">
      <c r="A36" t="inlineStr">
        <is>
          <t>6.5</t>
        </is>
      </c>
      <c r="B36" t="inlineStr">
        <is>
          <t>Post cladding 20 mm thermo-ash, 160 sq, h 2.25</t>
        </is>
      </c>
      <c r="C36" t="inlineStr">
        <is>
          <t>no</t>
        </is>
      </c>
      <c r="D36" t="inlineStr">
        <is>
          <t>2</t>
        </is>
      </c>
      <c r="F36">
        <f>IFERROR(D36*E36,"")</f>
        <v/>
      </c>
    </row>
    <row r="37">
      <c r="A37" s="2" t="inlineStr">
        <is>
          <t>7</t>
        </is>
      </c>
      <c r="B37" s="2" t="inlineStr">
        <is>
          <t>PLANTER &amp; WALLS</t>
        </is>
      </c>
      <c r="C37" s="2" t="inlineStr"/>
      <c r="D37" s="2" t="inlineStr"/>
      <c r="E37" s="2" t="n"/>
      <c r="F37" s="2" t="n"/>
    </row>
    <row r="38">
      <c r="A38" t="inlineStr">
        <is>
          <t>7.1</t>
        </is>
      </c>
      <c r="B38" t="inlineStr">
        <is>
          <t>Tanking slurry + HDPE drainage sheet</t>
        </is>
      </c>
      <c r="C38" t="inlineStr">
        <is>
          <t>m²</t>
        </is>
      </c>
      <c r="D38" t="inlineStr">
        <is>
          <t>12.5</t>
        </is>
      </c>
      <c r="F38">
        <f>IFERROR(D38*E38,"")</f>
        <v/>
      </c>
    </row>
    <row r="39">
      <c r="A39" t="inlineStr">
        <is>
          <t>7.2</t>
        </is>
      </c>
      <c r="B39" t="inlineStr">
        <is>
          <t>Drainage gravel 100 + geotextile</t>
        </is>
      </c>
      <c r="C39" t="inlineStr">
        <is>
          <t>m²</t>
        </is>
      </c>
      <c r="D39" t="inlineStr">
        <is>
          <t>7.0</t>
        </is>
      </c>
      <c r="F39">
        <f>IFERROR(D39*E39,"")</f>
        <v/>
      </c>
    </row>
    <row r="40">
      <c r="A40" t="inlineStr">
        <is>
          <t>7.3</t>
        </is>
      </c>
      <c r="B40" t="inlineStr">
        <is>
          <t>Topsoil + compost (450) &amp; mulch (50)</t>
        </is>
      </c>
      <c r="C40" t="inlineStr">
        <is>
          <t>m³</t>
        </is>
      </c>
      <c r="D40" t="inlineStr">
        <is>
          <t>3.51</t>
        </is>
      </c>
      <c r="F40">
        <f>IFERROR(D40*E40,"")</f>
        <v/>
      </c>
    </row>
    <row r="41">
      <c r="A41" t="inlineStr">
        <is>
          <t>7.4</t>
        </is>
      </c>
      <c r="B41" t="inlineStr">
        <is>
          <t>Precast coping 230x60</t>
        </is>
      </c>
      <c r="C41" t="inlineStr">
        <is>
          <t>m</t>
        </is>
      </c>
      <c r="D41" t="inlineStr">
        <is>
          <t>9.4</t>
        </is>
      </c>
      <c r="F41">
        <f>IFERROR(D41*E41,"")</f>
        <v/>
      </c>
    </row>
    <row r="42">
      <c r="A42" t="inlineStr">
        <is>
          <t>7.5</t>
        </is>
      </c>
      <c r="B42" t="inlineStr">
        <is>
          <t>Render 2 coats + paint, kerb external faces</t>
        </is>
      </c>
      <c r="C42" t="inlineStr">
        <is>
          <t>m²</t>
        </is>
      </c>
      <c r="D42" t="inlineStr">
        <is>
          <t>4.3</t>
        </is>
      </c>
      <c r="F42">
        <f>IFERROR(D42*E42,"")</f>
        <v/>
      </c>
    </row>
    <row r="43">
      <c r="A43" t="inlineStr">
        <is>
          <t>7.6</t>
        </is>
      </c>
      <c r="B43" t="inlineStr">
        <is>
          <t>Repair &amp; repaint boundary wall &amp; façade</t>
        </is>
      </c>
      <c r="C43" t="inlineStr">
        <is>
          <t>m²</t>
        </is>
      </c>
      <c r="D43" t="inlineStr">
        <is>
          <t>40</t>
        </is>
      </c>
      <c r="F43">
        <f>IFERROR(D43*E43,"")</f>
        <v/>
      </c>
    </row>
    <row r="44">
      <c r="A44" t="inlineStr">
        <is>
          <t>7.7</t>
        </is>
      </c>
      <c r="B44" t="inlineStr">
        <is>
          <t>SS climbing wires 3 mm incl. eyes &amp; tensioners</t>
        </is>
      </c>
      <c r="C44" t="inlineStr">
        <is>
          <t>m</t>
        </is>
      </c>
      <c r="D44" t="inlineStr">
        <is>
          <t>70</t>
        </is>
      </c>
      <c r="F44">
        <f>IFERROR(D44*E44,"")</f>
        <v/>
      </c>
    </row>
    <row r="45">
      <c r="A45" s="2" t="inlineStr">
        <is>
          <t>8</t>
        </is>
      </c>
      <c r="B45" s="2" t="inlineStr">
        <is>
          <t>PAVING</t>
        </is>
      </c>
      <c r="C45" s="2" t="inlineStr"/>
      <c r="D45" s="2" t="inlineStr"/>
      <c r="E45" s="2" t="n"/>
      <c r="F45" s="2" t="n"/>
    </row>
    <row r="46">
      <c r="A46" t="inlineStr">
        <is>
          <t>8.1</t>
        </is>
      </c>
      <c r="B46" t="inlineStr">
        <is>
          <t>Type 1 sub-base 150 + geotextile</t>
        </is>
      </c>
      <c r="C46" t="inlineStr">
        <is>
          <t>m²</t>
        </is>
      </c>
      <c r="D46" t="inlineStr">
        <is>
          <t>52.1</t>
        </is>
      </c>
      <c r="F46">
        <f>IFERROR(D46*E46,"")</f>
        <v/>
      </c>
    </row>
    <row r="47">
      <c r="A47" t="inlineStr">
        <is>
          <t>8.2</t>
        </is>
      </c>
      <c r="B47" t="inlineStr">
        <is>
          <t>Sand bed 30 + 200x200x60 pavers 3-tone + jointing</t>
        </is>
      </c>
      <c r="C47" t="inlineStr">
        <is>
          <t>m²</t>
        </is>
      </c>
      <c r="D47" t="inlineStr">
        <is>
          <t>52.1</t>
        </is>
      </c>
      <c r="F47">
        <f>IFERROR(D47*E47,"")</f>
        <v/>
      </c>
    </row>
    <row r="48">
      <c r="A48" t="inlineStr">
        <is>
          <t>8.3</t>
        </is>
      </c>
      <c r="B48" t="inlineStr">
        <is>
          <t xml:space="preserve">  (paver count 1302 + 5% = 1368)</t>
        </is>
      </c>
      <c r="C48" t="inlineStr">
        <is>
          <t>no</t>
        </is>
      </c>
      <c r="D48" t="inlineStr">
        <is>
          <t>1368</t>
        </is>
      </c>
      <c r="F48">
        <f>IFERROR(D48*E48,"")</f>
        <v/>
      </c>
    </row>
    <row r="49">
      <c r="A49" t="inlineStr">
        <is>
          <t>8.4</t>
        </is>
      </c>
      <c r="B49" t="inlineStr">
        <is>
          <t>PCC edging 50x150 S edge on haunch</t>
        </is>
      </c>
      <c r="C49" t="inlineStr">
        <is>
          <t>m</t>
        </is>
      </c>
      <c r="D49" t="inlineStr">
        <is>
          <t>6.2</t>
        </is>
      </c>
      <c r="F49">
        <f>IFERROR(D49*E49,"")</f>
        <v/>
      </c>
    </row>
    <row r="50">
      <c r="A50" s="2" t="inlineStr">
        <is>
          <t>9</t>
        </is>
      </c>
      <c r="B50" s="2" t="inlineStr">
        <is>
          <t>JOINERY &amp; DOORS (A-600)</t>
        </is>
      </c>
      <c r="C50" s="2" t="inlineStr"/>
      <c r="D50" s="2" t="inlineStr"/>
      <c r="E50" s="2" t="n"/>
      <c r="F50" s="2" t="n"/>
    </row>
    <row r="51">
      <c r="A51" t="inlineStr">
        <is>
          <t>9.1</t>
        </is>
      </c>
      <c r="B51" t="inlineStr">
        <is>
          <t>D01 alu glazed door 1100x2400 incl. ironmongery</t>
        </is>
      </c>
      <c r="C51" t="inlineStr">
        <is>
          <t>no</t>
        </is>
      </c>
      <c r="D51" t="inlineStr">
        <is>
          <t>1</t>
        </is>
      </c>
      <c r="F51">
        <f>IFERROR(D51*E51,"")</f>
        <v/>
      </c>
    </row>
    <row r="52">
      <c r="A52" t="inlineStr">
        <is>
          <t>9.2</t>
        </is>
      </c>
      <c r="B52" t="inlineStr">
        <is>
          <t>D02 insulated roller shutter 1800x2400 motorised</t>
        </is>
      </c>
      <c r="C52" t="inlineStr">
        <is>
          <t>no</t>
        </is>
      </c>
      <c r="D52" t="inlineStr">
        <is>
          <t>1</t>
        </is>
      </c>
      <c r="F52">
        <f>IFERROR(D52*E52,"")</f>
        <v/>
      </c>
    </row>
    <row r="53">
      <c r="A53" t="inlineStr">
        <is>
          <t>9.3</t>
        </is>
      </c>
      <c r="B53" t="inlineStr">
        <is>
          <t>D03 timber lattice door 900x2400 incl. lining</t>
        </is>
      </c>
      <c r="C53" t="inlineStr">
        <is>
          <t>no</t>
        </is>
      </c>
      <c r="D53" t="inlineStr">
        <is>
          <t>1</t>
        </is>
      </c>
      <c r="F53">
        <f>IFERROR(D53*E53,"")</f>
        <v/>
      </c>
    </row>
    <row r="54">
      <c r="A54" t="inlineStr">
        <is>
          <t>9.4</t>
        </is>
      </c>
      <c r="B54" t="inlineStr">
        <is>
          <t>G01 lattice screen 3.0 m x 1.8 incl. gate &amp; posts</t>
        </is>
      </c>
      <c r="C54" t="inlineStr">
        <is>
          <t>item</t>
        </is>
      </c>
      <c r="D54" t="inlineStr">
        <is>
          <t>1</t>
        </is>
      </c>
      <c r="F54">
        <f>IFERROR(D54*E54,"")</f>
        <v/>
      </c>
    </row>
    <row r="55">
      <c r="A55" s="2" t="inlineStr">
        <is>
          <t>10</t>
        </is>
      </c>
      <c r="B55" s="2" t="inlineStr">
        <is>
          <t>ELECTRICAL &amp; LIGHTING (A-103)</t>
        </is>
      </c>
      <c r="C55" s="2" t="inlineStr"/>
      <c r="D55" s="2" t="inlineStr"/>
      <c r="E55" s="2" t="n"/>
      <c r="F55" s="2" t="n"/>
    </row>
    <row r="56">
      <c r="A56" t="inlineStr">
        <is>
          <t>10.1</t>
        </is>
      </c>
      <c r="B56" t="inlineStr">
        <is>
          <t>LS1 LED strip + profiles + drivers</t>
        </is>
      </c>
      <c r="C56" t="inlineStr">
        <is>
          <t>m</t>
        </is>
      </c>
      <c r="D56" t="inlineStr">
        <is>
          <t>10.6</t>
        </is>
      </c>
      <c r="F56">
        <f>IFERROR(D56*E56,"")</f>
        <v/>
      </c>
    </row>
    <row r="57">
      <c r="A57" t="inlineStr">
        <is>
          <t>10.2</t>
        </is>
      </c>
      <c r="B57" t="inlineStr">
        <is>
          <t>DL1 downlights / WL1 wall light / UL1-6 spikes</t>
        </is>
      </c>
      <c r="C57" t="inlineStr">
        <is>
          <t>no</t>
        </is>
      </c>
      <c r="D57" t="inlineStr">
        <is>
          <t>2 / 1 / 6</t>
        </is>
      </c>
    </row>
    <row r="58">
      <c r="A58" t="inlineStr">
        <is>
          <t>10.3</t>
        </is>
      </c>
      <c r="B58" t="inlineStr">
        <is>
          <t>Circuits, RCBOs, socket SO1, controls, testing</t>
        </is>
      </c>
      <c r="C58" t="inlineStr">
        <is>
          <t>item</t>
        </is>
      </c>
      <c r="D58" t="inlineStr">
        <is>
          <t>1</t>
        </is>
      </c>
      <c r="F58">
        <f>IFERROR(D58*E58,"")</f>
        <v/>
      </c>
    </row>
    <row r="59">
      <c r="A59" s="2" t="inlineStr">
        <is>
          <t>11</t>
        </is>
      </c>
      <c r="B59" s="2" t="inlineStr">
        <is>
          <t>SOFT LANDSCAPE &amp; IRRIGATION (A-104)</t>
        </is>
      </c>
      <c r="C59" s="2" t="inlineStr"/>
      <c r="D59" s="2" t="inlineStr"/>
      <c r="E59" s="2" t="n"/>
      <c r="F59" s="2" t="n"/>
    </row>
    <row r="60">
      <c r="A60" t="inlineStr">
        <is>
          <t>11.1</t>
        </is>
      </c>
      <c r="B60" t="inlineStr">
        <is>
          <t>Plants per schedule incl. olive &amp; pot</t>
        </is>
      </c>
      <c r="C60" t="inlineStr">
        <is>
          <t>item</t>
        </is>
      </c>
      <c r="D60" t="inlineStr">
        <is>
          <t>1</t>
        </is>
      </c>
      <c r="F60">
        <f>IFERROR(D60*E60,"")</f>
        <v/>
      </c>
    </row>
    <row r="61">
      <c r="A61" t="inlineStr">
        <is>
          <t>11.2</t>
        </is>
      </c>
      <c r="B61" t="inlineStr">
        <is>
          <t>Drip irrigation system incl. controller</t>
        </is>
      </c>
      <c r="C61" t="inlineStr">
        <is>
          <t>item</t>
        </is>
      </c>
      <c r="D61" t="inlineStr">
        <is>
          <t>1</t>
        </is>
      </c>
      <c r="F61">
        <f>IFERROR(D61*E61,"")</f>
        <v/>
      </c>
    </row>
    <row r="62">
      <c r="A62" s="2" t="inlineStr">
        <is>
          <t>12</t>
        </is>
      </c>
      <c r="B62" s="2" t="inlineStr">
        <is>
          <t>CONTINGENCY (existing structure risk)</t>
        </is>
      </c>
      <c r="C62" s="2" t="inlineStr">
        <is>
          <t>%</t>
        </is>
      </c>
      <c r="D62" s="2" t="inlineStr">
        <is>
          <t>10</t>
        </is>
      </c>
      <c r="E62" s="2" t="n"/>
      <c r="F62" s="2" t="n"/>
    </row>
    <row r="64">
      <c r="A64" t="inlineStr"/>
      <c r="B64" t="inlineStr">
        <is>
          <t>SUBTOTAL</t>
        </is>
      </c>
      <c r="C64" t="inlineStr"/>
      <c r="D64" t="inlineStr"/>
      <c r="E64" t="inlineStr"/>
      <c r="F64">
        <f>SUM(F2:F62)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2026-10-06T15:56:58Z</dcterms:created>
  <dcterms:modified xmlns:dcterms="http://purl.org/dc/terms/" xmlns:xsi="http://www.w3.org/2001/XMLSchema-instance" xsi:type="dcterms:W3CDTF">2026-10-06T15:56:58Z</dcterms:modified>
</cp:coreProperties>
</file>